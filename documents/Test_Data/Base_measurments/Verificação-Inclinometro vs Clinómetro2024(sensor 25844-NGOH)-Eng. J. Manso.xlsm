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C:\Users\dany5\Desktop\"/>
    </mc:Choice>
  </mc:AlternateContent>
  <xr:revisionPtr revIDLastSave="0" documentId="13_ncr:1_{2BBDE930-FB31-405E-A20F-0877617CD4B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Folha1" sheetId="1" r:id="rId1"/>
    <sheet name="Folha2" sheetId="2" r:id="rId2"/>
    <sheet name="Folha3" sheetId="3" r:id="rId3"/>
  </sheets>
  <definedNames>
    <definedName name="_xlnm.Print_Area" localSheetId="0">Folha1!$B$1:$Q$39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Q25" i="1"/>
  <c r="Q26" i="1"/>
  <c r="Q27" i="1"/>
  <c r="Q28" i="1"/>
  <c r="Q23" i="1"/>
  <c r="Q24" i="1"/>
  <c r="M23" i="1"/>
  <c r="M24" i="1"/>
  <c r="M25" i="1"/>
  <c r="M26" i="1"/>
  <c r="M27" i="1"/>
  <c r="M2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J25" i="1" s="1"/>
  <c r="I25" i="1"/>
  <c r="H26" i="1"/>
  <c r="I26" i="1"/>
  <c r="H27" i="1"/>
  <c r="I27" i="1"/>
  <c r="H28" i="1"/>
  <c r="I28" i="1"/>
  <c r="Q17" i="1"/>
  <c r="Q18" i="1"/>
  <c r="Q19" i="1"/>
  <c r="Q20" i="1"/>
  <c r="Q21" i="1"/>
  <c r="Q22" i="1"/>
  <c r="M17" i="1"/>
  <c r="M18" i="1"/>
  <c r="M19" i="1"/>
  <c r="M20" i="1"/>
  <c r="M21" i="1"/>
  <c r="M22" i="1"/>
  <c r="J19" i="1"/>
  <c r="I18" i="1"/>
  <c r="I17" i="1"/>
  <c r="H18" i="1"/>
  <c r="H17" i="1"/>
  <c r="Q11" i="1"/>
  <c r="Q12" i="1"/>
  <c r="Q13" i="1"/>
  <c r="Q14" i="1"/>
  <c r="Q15" i="1"/>
  <c r="Q16" i="1"/>
  <c r="M11" i="1"/>
  <c r="M12" i="1"/>
  <c r="M13" i="1"/>
  <c r="M14" i="1"/>
  <c r="M15" i="1"/>
  <c r="M16" i="1"/>
  <c r="I16" i="1"/>
  <c r="I15" i="1"/>
  <c r="I14" i="1"/>
  <c r="I13" i="1"/>
  <c r="I12" i="1"/>
  <c r="I11" i="1"/>
  <c r="H16" i="1"/>
  <c r="H15" i="1"/>
  <c r="H14" i="1"/>
  <c r="H13" i="1"/>
  <c r="H12" i="1"/>
  <c r="H11" i="1"/>
  <c r="H6" i="1"/>
  <c r="I6" i="1"/>
  <c r="H7" i="1"/>
  <c r="I7" i="1"/>
  <c r="H8" i="1"/>
  <c r="I8" i="1"/>
  <c r="H9" i="1"/>
  <c r="I9" i="1"/>
  <c r="H10" i="1"/>
  <c r="I10" i="1"/>
  <c r="I5" i="1"/>
  <c r="H5" i="1"/>
  <c r="Q7" i="1"/>
  <c r="Q8" i="1"/>
  <c r="Q9" i="1"/>
  <c r="Q10" i="1"/>
  <c r="Q5" i="1"/>
  <c r="M5" i="1"/>
  <c r="M10" i="1"/>
  <c r="J29" i="1"/>
  <c r="J30" i="1"/>
  <c r="J31" i="1"/>
  <c r="J32" i="1"/>
  <c r="J33" i="1"/>
  <c r="J34" i="1"/>
  <c r="J35" i="1"/>
  <c r="J36" i="1"/>
  <c r="J37" i="1"/>
  <c r="N23" i="1" a="1"/>
  <c r="N18" i="1" a="1"/>
  <c r="R7" i="1" a="1"/>
  <c r="N28" i="1" a="1"/>
  <c r="N19" i="1" a="1"/>
  <c r="N24" i="1" a="1"/>
  <c r="R22" i="1" a="1"/>
  <c r="R5" i="1" a="1"/>
  <c r="N25" i="1" a="1"/>
  <c r="R16" i="1" a="1"/>
  <c r="N26" i="1" a="1"/>
  <c r="R24" i="1" a="1"/>
  <c r="R17" i="1" a="1"/>
  <c r="N12" i="1" a="1"/>
  <c r="R25" i="1" a="1"/>
  <c r="N16" i="1" a="1"/>
  <c r="N20" i="1" a="1"/>
  <c r="R26" i="1" a="1"/>
  <c r="R18" i="1" a="1"/>
  <c r="R19" i="1" a="1"/>
  <c r="N22" i="1" a="1"/>
  <c r="N5" i="1" a="1"/>
  <c r="N17" i="1" a="1"/>
  <c r="N11" i="1" a="1"/>
  <c r="N21" i="1" a="1"/>
  <c r="R9" i="1" a="1"/>
  <c r="R27" i="1" a="1"/>
  <c r="N14" i="1" a="1"/>
  <c r="R28" i="1" a="1"/>
  <c r="R20" i="1" a="1"/>
  <c r="R15" i="1" a="1"/>
  <c r="R12" i="1" a="1"/>
  <c r="N13" i="1" a="1"/>
  <c r="R8" i="1" a="1"/>
  <c r="R10" i="1" a="1"/>
  <c r="R13" i="1" a="1"/>
  <c r="R14" i="1" a="1"/>
  <c r="N10" i="1" a="1"/>
  <c r="N15" i="1" a="1"/>
  <c r="N27" i="1" a="1"/>
  <c r="R23" i="1" a="1"/>
  <c r="R11" i="1" a="1"/>
  <c r="R21" i="1" a="1"/>
  <c r="J28" i="1" l="1"/>
  <c r="J22" i="1"/>
  <c r="J26" i="1"/>
  <c r="J18" i="1"/>
  <c r="J20" i="1"/>
  <c r="J15" i="1"/>
  <c r="J23" i="1"/>
  <c r="J11" i="1"/>
  <c r="J13" i="1"/>
  <c r="J14" i="1"/>
  <c r="J24" i="1"/>
  <c r="J27" i="1"/>
  <c r="J12" i="1"/>
  <c r="J21" i="1"/>
  <c r="J16" i="1"/>
  <c r="J17" i="1"/>
  <c r="R23" i="1"/>
  <c r="R28" i="1"/>
  <c r="R27" i="1"/>
  <c r="R26" i="1"/>
  <c r="R25" i="1"/>
  <c r="R24" i="1"/>
  <c r="N26" i="1"/>
  <c r="N25" i="1"/>
  <c r="N24" i="1"/>
  <c r="N28" i="1"/>
  <c r="N27" i="1"/>
  <c r="N23" i="1"/>
  <c r="R22" i="1"/>
  <c r="R21" i="1"/>
  <c r="R20" i="1"/>
  <c r="R19" i="1"/>
  <c r="R18" i="1"/>
  <c r="R17" i="1"/>
  <c r="N17" i="1"/>
  <c r="N22" i="1"/>
  <c r="N21" i="1"/>
  <c r="N20" i="1"/>
  <c r="N19" i="1"/>
  <c r="N18" i="1"/>
  <c r="R11" i="1"/>
  <c r="R16" i="1"/>
  <c r="R15" i="1"/>
  <c r="R14" i="1"/>
  <c r="R13" i="1"/>
  <c r="R12" i="1"/>
  <c r="N13" i="1"/>
  <c r="N12" i="1"/>
  <c r="N11" i="1"/>
  <c r="N16" i="1"/>
  <c r="N15" i="1"/>
  <c r="N14" i="1"/>
  <c r="J8" i="1"/>
  <c r="R10" i="1"/>
  <c r="R5" i="1"/>
  <c r="R7" i="1"/>
  <c r="R8" i="1"/>
  <c r="R9" i="1"/>
  <c r="N10" i="1"/>
  <c r="N5" i="1"/>
  <c r="M6" i="1"/>
  <c r="M7" i="1"/>
  <c r="M8" i="1"/>
  <c r="M9" i="1"/>
  <c r="J5" i="1"/>
  <c r="N7" i="1" a="1"/>
  <c r="N9" i="1" a="1"/>
  <c r="N8" i="1" a="1"/>
  <c r="N6" i="1" a="1"/>
  <c r="N9" i="1" l="1"/>
  <c r="N8" i="1"/>
  <c r="N7" i="1"/>
  <c r="N6" i="1"/>
  <c r="J10" i="1"/>
  <c r="J9" i="1"/>
  <c r="J7" i="1"/>
  <c r="J6" i="1"/>
  <c r="Q6" i="1"/>
  <c r="R6" i="1" a="1"/>
  <c r="R6" i="1" l="1"/>
  <c r="D2" i="1"/>
  <c r="Q29" i="1"/>
  <c r="Q30" i="1"/>
  <c r="Q31" i="1"/>
  <c r="Q32" i="1"/>
  <c r="Q33" i="1"/>
  <c r="Q34" i="1"/>
  <c r="Q35" i="1"/>
  <c r="Q36" i="1"/>
  <c r="Q37" i="1"/>
  <c r="M29" i="1"/>
  <c r="M30" i="1"/>
  <c r="M31" i="1"/>
  <c r="M32" i="1"/>
  <c r="M33" i="1"/>
  <c r="M34" i="1"/>
  <c r="M35" i="1"/>
  <c r="M36" i="1"/>
  <c r="M37" i="1"/>
  <c r="Q38" i="1"/>
  <c r="Q39" i="1"/>
  <c r="J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Utilizador</author>
    <author>António Robalo Coelho</author>
  </authors>
  <commentList>
    <comment ref="E3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Utilizador:</t>
        </r>
        <r>
          <rPr>
            <sz val="9"/>
            <color indexed="81"/>
            <rFont val="Tahoma"/>
            <charset val="1"/>
          </rPr>
          <t xml:space="preserve">
Série A, B, C, …
Repetição: 1, 2, 3, 4, …
A Série corresponde ao número de vezes que se fazem medições numa determinada posição angular.
A repetição refere-se à repetição consecutiva de uma determinada série.</t>
        </r>
      </text>
    </comment>
    <comment ref="M5" authorId="1" shapeId="0" xr:uid="{2CBCE0E1-ACEA-4859-9401-BCFB970BE516}">
      <text>
        <r>
          <rPr>
            <b/>
            <sz val="9"/>
            <color indexed="81"/>
            <rFont val="Tahoma"/>
            <family val="2"/>
          </rPr>
          <t>António Robalo Coelho:</t>
        </r>
        <r>
          <rPr>
            <sz val="9"/>
            <color indexed="81"/>
            <rFont val="Tahoma"/>
            <family val="2"/>
          </rPr>
          <t xml:space="preserve">
Função para cálcular o ângulo, a partir das 2 leituras (Leit.1-3 (+) e Leit.3-1 (-)) efetuadas em cada posição, com o clinometro.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Utilizador</author>
    <author>António Robalo Coelho</author>
  </authors>
  <commentList>
    <comment ref="E4" authorId="0" shapeId="0" xr:uid="{8D1C5DFF-19C3-4B07-9355-393D5D380A02}">
      <text>
        <r>
          <rPr>
            <b/>
            <sz val="9"/>
            <color indexed="81"/>
            <rFont val="Tahoma"/>
            <charset val="1"/>
          </rPr>
          <t>Utilizador:</t>
        </r>
        <r>
          <rPr>
            <sz val="9"/>
            <color indexed="81"/>
            <rFont val="Tahoma"/>
            <charset val="1"/>
          </rPr>
          <t xml:space="preserve">
Série A, B, C, …
Repetição: 1, 2, 3, 4, …
A Série corresponde ao número de vezes que se fazem medições numa determinada posição angular.
A repetição refere-se à repetição consecutiva de uma determinada série.</t>
        </r>
      </text>
    </comment>
    <comment ref="M6" authorId="1" shapeId="0" xr:uid="{5ADCB34C-F71A-405A-A519-91C1CFCCA515}">
      <text>
        <r>
          <rPr>
            <b/>
            <sz val="9"/>
            <color indexed="81"/>
            <rFont val="Tahoma"/>
            <family val="2"/>
          </rPr>
          <t>António Robalo Coelho:</t>
        </r>
        <r>
          <rPr>
            <sz val="9"/>
            <color indexed="81"/>
            <rFont val="Tahoma"/>
            <family val="2"/>
          </rPr>
          <t xml:space="preserve">
Função para cálcular o ângulo, a partir das 2 leituras (Leit.1-3 (+) e Leit.3-1 (-)) efetuadas em cada posição, com o clinometro.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<sst xmlns="http://schemas.openxmlformats.org/spreadsheetml/2006/main" count="93" uniqueCount="28">
  <si>
    <t>Data</t>
  </si>
  <si>
    <t>Hora</t>
  </si>
  <si>
    <t>Temp
(ºC)</t>
  </si>
  <si>
    <t>Ângulo
(min)</t>
  </si>
  <si>
    <t>BaseClinH</t>
  </si>
  <si>
    <t>Leit.3-1</t>
  </si>
  <si>
    <t>Série</t>
  </si>
  <si>
    <t>Repetição</t>
  </si>
  <si>
    <t>Nº</t>
  </si>
  <si>
    <t>Comprimento da base:</t>
  </si>
  <si>
    <t>Ensaiou:</t>
  </si>
  <si>
    <t>Verificou:</t>
  </si>
  <si>
    <t>Observação:</t>
  </si>
  <si>
    <t>Folha nº</t>
  </si>
  <si>
    <t>Leit. A0     Leit. B0</t>
  </si>
  <si>
    <t>Leit. A180    Leit. B180</t>
  </si>
  <si>
    <t>Ângulo
(grau)</t>
  </si>
  <si>
    <t>A</t>
  </si>
  <si>
    <t>B</t>
  </si>
  <si>
    <t>Leit.1-3 (+)</t>
  </si>
  <si>
    <t>C</t>
  </si>
  <si>
    <r>
      <rPr>
        <b/>
        <sz val="10"/>
        <color theme="1"/>
        <rFont val="Symbol"/>
        <family val="1"/>
        <charset val="2"/>
      </rPr>
      <t>D</t>
    </r>
    <r>
      <rPr>
        <b/>
        <sz val="10"/>
        <color theme="1"/>
        <rFont val="Arial Narrow"/>
        <family val="2"/>
      </rPr>
      <t xml:space="preserve"> BaseClinH</t>
    </r>
  </si>
  <si>
    <t>Leit.3-1 (-)</t>
  </si>
  <si>
    <t>G.M.S</t>
  </si>
  <si>
    <t>D</t>
  </si>
  <si>
    <t>Direção</t>
  </si>
  <si>
    <t>Inclinómetro nº 25844 (sensor 1)</t>
  </si>
  <si>
    <t>Verificação da exatidão  do inclinómetro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</si>
</sst>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 &quot;mm&quot;"/>
    <numFmt numFmtId="165" formatCode="0.0000"/>
  </numFmts>
  <fonts count="1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theme="1"/>
      <name val="Arial Narrow"/>
      <family val="2"/>
    </font>
    <font>
      <b/>
      <sz val="10"/>
      <color theme="1"/>
      <name val="Symbol"/>
      <family val="1"/>
      <charset val="2"/>
    </font>
    <font>
      <b/>
      <sz val="9"/>
      <color rgb="FF0070C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1"/>
      <charset val="2"/>
    </font>
    <font>
      <b/>
      <sz val="10"/>
      <color theme="1"/>
      <name val="Arial Narrow"/>
      <family val="2"/>
    </font>
    <font>
      <b/>
      <sz val="12"/>
      <color theme="1"/>
      <name val="Arial Narrow"/>
      <family val="2"/>
    </font>
    <font>
      <sz val="9"/>
      <color indexed="81"/>
      <name val="Tahoma"/>
      <family val="2"/>
    </font>
    <font>
      <b/>
      <sz val="9"/>
      <color rgb="FF00B050"/>
      <name val="Arial Narrow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2" xfId="0" applyFont="1" applyBorder="1" applyProtection="1"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Protection="1"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2" fontId="3" fillId="0" borderId="5" xfId="0" applyNumberFormat="1" applyFont="1" applyBorder="1" applyAlignment="1">
      <alignment horizontal="center" vertical="center"/>
    </xf>
    <xf numFmtId="0" fontId="3" fillId="0" borderId="3" xfId="0" applyFont="1" applyBorder="1" applyProtection="1">
      <protection locked="0"/>
    </xf>
    <xf numFmtId="0" fontId="3" fillId="0" borderId="3" xfId="0" applyFont="1" applyBorder="1"/>
    <xf numFmtId="2" fontId="3" fillId="0" borderId="3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right" vertical="center"/>
    </xf>
    <xf numFmtId="2" fontId="5" fillId="0" borderId="1" xfId="0" applyNumberFormat="1" applyFont="1" applyBorder="1" applyAlignment="1">
      <alignment horizontal="center" vertical="center"/>
    </xf>
    <xf numFmtId="0" fontId="6" fillId="0" borderId="0" xfId="0" applyFont="1"/>
    <xf numFmtId="0" fontId="3" fillId="0" borderId="7" xfId="0" applyFont="1" applyBorder="1"/>
    <xf numFmtId="0" fontId="3" fillId="0" borderId="7" xfId="0" applyFont="1" applyBorder="1" applyAlignment="1">
      <alignment horizontal="center" vertical="center"/>
    </xf>
    <xf numFmtId="0" fontId="3" fillId="0" borderId="7" xfId="0" applyFont="1" applyBorder="1" applyProtection="1">
      <protection locked="0"/>
    </xf>
    <xf numFmtId="0" fontId="3" fillId="0" borderId="8" xfId="0" applyFont="1" applyBorder="1"/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9" xfId="0" applyFont="1" applyBorder="1"/>
    <xf numFmtId="0" fontId="3" fillId="0" borderId="9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2" fontId="5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>
      <alignment horizontal="center" vertical="center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2" fontId="5" fillId="0" borderId="16" xfId="0" applyNumberFormat="1" applyFon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22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Protection="1">
      <protection locked="0"/>
    </xf>
    <xf numFmtId="0" fontId="3" fillId="0" borderId="28" xfId="0" applyFont="1" applyBorder="1" applyProtection="1">
      <protection locked="0"/>
    </xf>
    <xf numFmtId="0" fontId="3" fillId="0" borderId="29" xfId="0" applyFont="1" applyBorder="1" applyProtection="1">
      <protection locked="0"/>
    </xf>
    <xf numFmtId="0" fontId="3" fillId="0" borderId="30" xfId="0" applyFont="1" applyBorder="1" applyProtection="1">
      <protection locked="0"/>
    </xf>
    <xf numFmtId="0" fontId="3" fillId="0" borderId="31" xfId="0" applyFont="1" applyBorder="1" applyProtection="1">
      <protection locked="0"/>
    </xf>
    <xf numFmtId="0" fontId="3" fillId="0" borderId="30" xfId="0" applyFont="1" applyBorder="1"/>
    <xf numFmtId="0" fontId="3" fillId="0" borderId="29" xfId="0" applyFont="1" applyBorder="1"/>
    <xf numFmtId="2" fontId="3" fillId="0" borderId="29" xfId="0" applyNumberFormat="1" applyFont="1" applyBorder="1" applyAlignment="1">
      <alignment horizontal="center" vertical="center"/>
    </xf>
    <xf numFmtId="14" fontId="3" fillId="0" borderId="9" xfId="0" applyNumberFormat="1" applyFont="1" applyBorder="1" applyAlignment="1" applyProtection="1">
      <alignment horizontal="center" vertical="center"/>
      <protection locked="0"/>
    </xf>
    <xf numFmtId="20" fontId="3" fillId="0" borderId="1" xfId="0" applyNumberFormat="1" applyFont="1" applyBorder="1" applyAlignment="1" applyProtection="1">
      <alignment horizontal="center" vertical="center"/>
      <protection locked="0"/>
    </xf>
    <xf numFmtId="165" fontId="5" fillId="0" borderId="12" xfId="0" applyNumberFormat="1" applyFont="1" applyBorder="1" applyAlignment="1">
      <alignment horizontal="center" vertical="center"/>
    </xf>
    <xf numFmtId="165" fontId="5" fillId="0" borderId="18" xfId="0" applyNumberFormat="1" applyFont="1" applyBorder="1" applyAlignment="1">
      <alignment horizontal="center" vertical="center"/>
    </xf>
    <xf numFmtId="165" fontId="5" fillId="0" borderId="22" xfId="0" applyNumberFormat="1" applyFont="1" applyBorder="1" applyAlignment="1">
      <alignment horizontal="center" vertical="center"/>
    </xf>
    <xf numFmtId="0" fontId="3" fillId="0" borderId="6" xfId="0" applyFont="1" applyBorder="1"/>
    <xf numFmtId="0" fontId="8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165" fontId="5" fillId="0" borderId="8" xfId="0" applyNumberFormat="1" applyFont="1" applyBorder="1" applyAlignment="1">
      <alignment horizontal="center" vertical="center"/>
    </xf>
    <xf numFmtId="165" fontId="5" fillId="0" borderId="19" xfId="0" applyNumberFormat="1" applyFont="1" applyBorder="1" applyAlignment="1">
      <alignment horizontal="center" vertical="center"/>
    </xf>
    <xf numFmtId="165" fontId="5" fillId="0" borderId="23" xfId="0" applyNumberFormat="1" applyFont="1" applyBorder="1" applyAlignment="1">
      <alignment horizontal="center" vertical="center"/>
    </xf>
    <xf numFmtId="0" fontId="6" fillId="0" borderId="36" xfId="0" applyFont="1" applyBorder="1"/>
    <xf numFmtId="165" fontId="5" fillId="0" borderId="37" xfId="0" applyNumberFormat="1" applyFont="1" applyBorder="1" applyAlignment="1">
      <alignment horizontal="center" vertical="center"/>
    </xf>
    <xf numFmtId="0" fontId="3" fillId="0" borderId="9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3" fillId="0" borderId="20" xfId="0" applyFont="1" applyBorder="1" applyAlignment="1" applyProtection="1">
      <alignment horizontal="center"/>
      <protection locked="0"/>
    </xf>
    <xf numFmtId="0" fontId="3" fillId="0" borderId="7" xfId="0" applyFont="1" applyBorder="1" applyAlignment="1" applyProtection="1">
      <alignment horizontal="center"/>
      <protection locked="0"/>
    </xf>
    <xf numFmtId="0" fontId="3" fillId="0" borderId="25" xfId="0" applyFont="1" applyBorder="1" applyAlignment="1" applyProtection="1">
      <alignment horizontal="center"/>
      <protection locked="0"/>
    </xf>
    <xf numFmtId="0" fontId="3" fillId="0" borderId="21" xfId="0" applyFont="1" applyBorder="1" applyAlignment="1" applyProtection="1">
      <alignment horizontal="center"/>
      <protection locked="0"/>
    </xf>
    <xf numFmtId="0" fontId="6" fillId="0" borderId="8" xfId="0" applyFont="1" applyBorder="1"/>
    <xf numFmtId="0" fontId="3" fillId="0" borderId="27" xfId="0" applyFont="1" applyBorder="1"/>
    <xf numFmtId="0" fontId="3" fillId="0" borderId="32" xfId="0" applyFont="1" applyBorder="1"/>
    <xf numFmtId="0" fontId="3" fillId="0" borderId="7" xfId="0" applyFont="1" applyBorder="1" applyAlignment="1">
      <alignment horizontal="center" vertical="center" wrapText="1"/>
    </xf>
    <xf numFmtId="165" fontId="11" fillId="0" borderId="1" xfId="0" applyNumberFormat="1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B1:V39"/>
  <sheetViews>
    <sheetView zoomScale="110" zoomScaleNormal="110" workbookViewId="0">
      <selection activeCell="V18" sqref="V18"/>
    </sheetView>
  </sheetViews>
  <sheetFormatPr defaultColWidth="9.109375" defaultRowHeight="12" x14ac:dyDescent="0.25"/>
  <cols>
    <col min="1" max="2" width="9.109375" style="1"/>
    <col min="3" max="7" width="7.6640625" style="1" customWidth="1"/>
    <col min="8" max="16384" width="9.109375" style="1"/>
  </cols>
  <sheetData>
    <row r="1" spans="2:22" ht="15.6" x14ac:dyDescent="0.25">
      <c r="B1" s="82" t="s">
        <v>27</v>
      </c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4"/>
    </row>
    <row r="2" spans="2:22" x14ac:dyDescent="0.25">
      <c r="B2" s="26" t="s">
        <v>9</v>
      </c>
      <c r="C2" s="3"/>
      <c r="D2" s="16">
        <f>101.25-(2*1.3/2)</f>
        <v>99.95</v>
      </c>
      <c r="E2" s="3"/>
      <c r="F2" s="23"/>
      <c r="G2" s="59"/>
      <c r="H2" s="26"/>
      <c r="I2" s="3"/>
      <c r="J2" s="23"/>
      <c r="K2" s="20"/>
      <c r="L2" s="3"/>
      <c r="M2" s="3"/>
      <c r="N2" s="23"/>
      <c r="O2" s="20"/>
      <c r="P2" s="4"/>
      <c r="Q2" s="4" t="s">
        <v>13</v>
      </c>
      <c r="R2" s="23"/>
    </row>
    <row r="3" spans="2:22" ht="20.100000000000001" customHeight="1" x14ac:dyDescent="0.25">
      <c r="B3" s="91" t="s">
        <v>0</v>
      </c>
      <c r="C3" s="92" t="s">
        <v>1</v>
      </c>
      <c r="D3" s="88" t="s">
        <v>2</v>
      </c>
      <c r="E3" s="88" t="s">
        <v>6</v>
      </c>
      <c r="F3" s="89"/>
      <c r="G3" s="60"/>
      <c r="H3" s="90" t="s">
        <v>21</v>
      </c>
      <c r="I3" s="86"/>
      <c r="J3" s="87"/>
      <c r="K3" s="85" t="s">
        <v>4</v>
      </c>
      <c r="L3" s="86"/>
      <c r="M3" s="86"/>
      <c r="N3" s="87"/>
      <c r="O3" s="85" t="s">
        <v>26</v>
      </c>
      <c r="P3" s="86"/>
      <c r="Q3" s="86"/>
      <c r="R3" s="87"/>
      <c r="S3" s="2"/>
      <c r="T3" s="2"/>
      <c r="U3" s="2"/>
      <c r="V3" s="2"/>
    </row>
    <row r="4" spans="2:22" ht="24" x14ac:dyDescent="0.25">
      <c r="B4" s="91"/>
      <c r="C4" s="92"/>
      <c r="D4" s="88"/>
      <c r="E4" s="4" t="s">
        <v>8</v>
      </c>
      <c r="F4" s="24" t="s">
        <v>7</v>
      </c>
      <c r="G4" s="61" t="s">
        <v>25</v>
      </c>
      <c r="H4" s="27" t="s">
        <v>19</v>
      </c>
      <c r="I4" s="4" t="s">
        <v>22</v>
      </c>
      <c r="J4" s="28" t="s">
        <v>3</v>
      </c>
      <c r="K4" s="21" t="s">
        <v>19</v>
      </c>
      <c r="L4" s="4" t="s">
        <v>5</v>
      </c>
      <c r="M4" s="5" t="s">
        <v>16</v>
      </c>
      <c r="N4" s="31" t="s">
        <v>23</v>
      </c>
      <c r="O4" s="80" t="s">
        <v>14</v>
      </c>
      <c r="P4" s="5" t="s">
        <v>15</v>
      </c>
      <c r="Q4" s="5" t="s">
        <v>16</v>
      </c>
      <c r="R4" s="31" t="s">
        <v>23</v>
      </c>
      <c r="S4" s="2"/>
    </row>
    <row r="5" spans="2:22" ht="13.8" x14ac:dyDescent="0.3">
      <c r="B5" s="54">
        <v>45364</v>
      </c>
      <c r="C5" s="55">
        <v>0.38541666666666669</v>
      </c>
      <c r="D5" s="6">
        <v>17.7</v>
      </c>
      <c r="E5" s="6" t="s">
        <v>17</v>
      </c>
      <c r="F5" s="25">
        <v>1</v>
      </c>
      <c r="G5" s="64" t="s">
        <v>17</v>
      </c>
      <c r="H5" s="71">
        <f>K5</f>
        <v>-473</v>
      </c>
      <c r="I5" s="6">
        <f>L5</f>
        <v>545</v>
      </c>
      <c r="J5" s="66">
        <f>IF(AND(H5="",I5=""),"",ASIN(((H5-$H$5)-(I5-$I$5))/(2*25000))*180/PI()*60)</f>
        <v>0</v>
      </c>
      <c r="K5" s="74">
        <v>-473</v>
      </c>
      <c r="L5" s="6">
        <v>545</v>
      </c>
      <c r="M5" s="81">
        <f>IF(AND(K5="",L5=""),"",ASIN(((K5-L5))/(2*25000))*180/PI())</f>
        <v>-1.1666226802936763</v>
      </c>
      <c r="N5" s="77" t="str" cm="1">
        <f t="array" ref="N5">IF(M5="", M5,Degms(M5))</f>
        <v>-01º 09' 59''</v>
      </c>
      <c r="O5" s="74">
        <v>-146</v>
      </c>
      <c r="P5" s="6">
        <v>133</v>
      </c>
      <c r="Q5" s="56">
        <f t="shared" ref="Q5:Q28" si="0">IF(AND(O5="",P5=""),"",ASIN(((O5)-(P5))/(2*25000))*180/PI())</f>
        <v>-0.31971210881165374</v>
      </c>
      <c r="R5" s="77" t="str" cm="1">
        <f t="array" ref="R5">IF(Q5="", Q5,Degms(Q5))</f>
        <v>-00º 19' 10''</v>
      </c>
    </row>
    <row r="6" spans="2:22" ht="14.4" thickBot="1" x14ac:dyDescent="0.35">
      <c r="B6" s="45"/>
      <c r="C6" s="32"/>
      <c r="D6" s="32"/>
      <c r="E6" s="32"/>
      <c r="F6" s="33"/>
      <c r="G6" s="65" t="s">
        <v>18</v>
      </c>
      <c r="H6" s="72">
        <f t="shared" ref="H6:H18" si="1">K6</f>
        <v>-473</v>
      </c>
      <c r="I6" s="40">
        <f t="shared" ref="I6:I18" si="2">L6</f>
        <v>546</v>
      </c>
      <c r="J6" s="68">
        <f>IF(AND(H6="",I6=""),"",ASIN(((H6-$H$6)-(I6-$I$6))/(2*25000))*180/PI()*60)</f>
        <v>0</v>
      </c>
      <c r="K6" s="75">
        <v>-473</v>
      </c>
      <c r="L6" s="40">
        <v>546</v>
      </c>
      <c r="M6" s="58">
        <f t="shared" ref="M6:M9" si="3">IF(AND(K6="",L6=""),"",ASIN(((K6-L6))/(2*25000))*180/PI())</f>
        <v>-1.1677688336992997</v>
      </c>
      <c r="N6" s="69" t="str" cm="1">
        <f t="array" ref="N6">IF(M6="", M6,Degms(M6))</f>
        <v>-01º 10' 03''</v>
      </c>
      <c r="O6" s="75">
        <v>-126</v>
      </c>
      <c r="P6" s="40">
        <v>160</v>
      </c>
      <c r="Q6" s="58">
        <f t="shared" si="0"/>
        <v>-0.32773364598481891</v>
      </c>
      <c r="R6" s="69" t="str" cm="1">
        <f t="array" ref="R6">IF(Q6="", Q6,Degms(Q6))</f>
        <v>-00º 19' 39''</v>
      </c>
    </row>
    <row r="7" spans="2:22" ht="13.8" x14ac:dyDescent="0.3">
      <c r="B7" s="43"/>
      <c r="C7" s="38"/>
      <c r="D7" s="38"/>
      <c r="E7" s="38"/>
      <c r="F7" s="39">
        <v>2</v>
      </c>
      <c r="G7" s="64" t="s">
        <v>17</v>
      </c>
      <c r="H7" s="73">
        <f t="shared" si="1"/>
        <v>-472</v>
      </c>
      <c r="I7" s="38">
        <f t="shared" si="2"/>
        <v>548</v>
      </c>
      <c r="J7" s="67">
        <f>IF(AND(H7="",I7=""),"",ASIN(((H7-$H$5)-(I7-$I$5))/(2*25000))*180/PI()*60)</f>
        <v>-0.1375098708680669</v>
      </c>
      <c r="K7" s="76">
        <v>-472</v>
      </c>
      <c r="L7" s="38">
        <v>548</v>
      </c>
      <c r="M7" s="57">
        <f t="shared" si="3"/>
        <v>-1.1689149875722895</v>
      </c>
      <c r="N7" s="77" t="str" cm="1">
        <f t="array" ref="N7">IF(M7="", M7,Degms(M7))</f>
        <v>-01º 10' 08''</v>
      </c>
      <c r="O7" s="76">
        <v>-145</v>
      </c>
      <c r="P7" s="38">
        <v>137</v>
      </c>
      <c r="Q7" s="70">
        <f t="shared" si="0"/>
        <v>-0.32314990968078644</v>
      </c>
      <c r="R7" s="77" t="str" cm="1">
        <f t="array" ref="R7">IF(Q7="", Q7,Degms(Q7))</f>
        <v>-00º 19' 23''</v>
      </c>
    </row>
    <row r="8" spans="2:22" ht="14.4" thickBot="1" x14ac:dyDescent="0.35">
      <c r="B8" s="44"/>
      <c r="C8" s="40"/>
      <c r="D8" s="40"/>
      <c r="E8" s="40"/>
      <c r="F8" s="41"/>
      <c r="G8" s="65" t="s">
        <v>18</v>
      </c>
      <c r="H8" s="72">
        <f t="shared" si="1"/>
        <v>-473</v>
      </c>
      <c r="I8" s="40">
        <f t="shared" si="2"/>
        <v>549</v>
      </c>
      <c r="J8" s="68">
        <f>IF(AND(H8="",I8=""),"",ASIN(((H8-$H$6)-(I8-$I$6))/(2*25000))*180/PI()*60)</f>
        <v>-0.20626480637085523</v>
      </c>
      <c r="K8" s="75">
        <v>-473</v>
      </c>
      <c r="L8" s="40">
        <v>549</v>
      </c>
      <c r="M8" s="58">
        <f t="shared" si="3"/>
        <v>-1.1712072967222051</v>
      </c>
      <c r="N8" s="69" t="str" cm="1">
        <f t="array" ref="N8">IF(M8="", M8,Degms(M8))</f>
        <v>-01º 10' 16''</v>
      </c>
      <c r="O8" s="75">
        <v>-131</v>
      </c>
      <c r="P8" s="40">
        <v>157</v>
      </c>
      <c r="Q8" s="58">
        <f t="shared" si="0"/>
        <v>-0.33002551492159654</v>
      </c>
      <c r="R8" s="69" t="str" cm="1">
        <f t="array" ref="R8">IF(Q8="", Q8,Degms(Q8))</f>
        <v>-00º 19' 48''</v>
      </c>
    </row>
    <row r="9" spans="2:22" ht="13.8" x14ac:dyDescent="0.3">
      <c r="B9" s="43"/>
      <c r="C9" s="38"/>
      <c r="D9" s="38"/>
      <c r="E9" s="38"/>
      <c r="F9" s="39">
        <v>3</v>
      </c>
      <c r="G9" s="64" t="s">
        <v>17</v>
      </c>
      <c r="H9" s="73">
        <f t="shared" si="1"/>
        <v>-473</v>
      </c>
      <c r="I9" s="38">
        <f t="shared" si="2"/>
        <v>549</v>
      </c>
      <c r="J9" s="67">
        <f>IF(AND(H9="",I9=""),"",ASIN(((H9-$H$5)-(I9-$I$5))/(2*25000))*180/PI()*60)</f>
        <v>-0.27501974195614959</v>
      </c>
      <c r="K9" s="76">
        <v>-473</v>
      </c>
      <c r="L9" s="38">
        <v>549</v>
      </c>
      <c r="M9" s="57">
        <f t="shared" si="3"/>
        <v>-1.1712072967222051</v>
      </c>
      <c r="N9" s="77" t="str" cm="1">
        <f t="array" ref="N9">IF(M9="", M9,Degms(M9))</f>
        <v>-01º 10' 16''</v>
      </c>
      <c r="O9" s="76">
        <v>-147</v>
      </c>
      <c r="P9" s="38">
        <v>137</v>
      </c>
      <c r="Q9" s="70">
        <f t="shared" si="0"/>
        <v>-0.32544177757243808</v>
      </c>
      <c r="R9" s="77" t="str" cm="1">
        <f t="array" ref="R9">IF(Q9="", Q9,Degms(Q9))</f>
        <v>-00º 19' 31''</v>
      </c>
    </row>
    <row r="10" spans="2:22" ht="14.4" thickBot="1" x14ac:dyDescent="0.35">
      <c r="B10" s="44"/>
      <c r="C10" s="40"/>
      <c r="D10" s="40"/>
      <c r="E10" s="40"/>
      <c r="F10" s="41"/>
      <c r="G10" s="65" t="s">
        <v>18</v>
      </c>
      <c r="H10" s="72">
        <f t="shared" si="1"/>
        <v>-473</v>
      </c>
      <c r="I10" s="40">
        <f t="shared" si="2"/>
        <v>549</v>
      </c>
      <c r="J10" s="68">
        <f>IF(AND(H10="",I10=""),"",ASIN(((H10-$H$6)-(I10-$I$6))/(2*25000))*180/PI()*60)</f>
        <v>-0.20626480637085523</v>
      </c>
      <c r="K10" s="75">
        <v>-473</v>
      </c>
      <c r="L10" s="40">
        <v>549</v>
      </c>
      <c r="M10" s="58">
        <f>IF(AND(K10="",L10=""),"",ASIN(((K10-L10))/(2*25000))*180/PI())</f>
        <v>-1.1712072967222051</v>
      </c>
      <c r="N10" s="69" t="str" cm="1">
        <f t="array" ref="N10">IF(M10="", M10,Degms(M10))</f>
        <v>-01º 10' 16''</v>
      </c>
      <c r="O10" s="75">
        <v>-132</v>
      </c>
      <c r="P10" s="40">
        <v>157</v>
      </c>
      <c r="Q10" s="58">
        <f t="shared" si="0"/>
        <v>-0.33117144958778022</v>
      </c>
      <c r="R10" s="69" t="str" cm="1">
        <f t="array" ref="R10">IF(Q10="", Q10,Degms(Q10))</f>
        <v>-00º 19' 52''</v>
      </c>
    </row>
    <row r="11" spans="2:22" ht="13.8" x14ac:dyDescent="0.3">
      <c r="B11" s="43"/>
      <c r="C11" s="38"/>
      <c r="D11" s="38"/>
      <c r="E11" s="38" t="s">
        <v>18</v>
      </c>
      <c r="F11" s="39">
        <v>1</v>
      </c>
      <c r="G11" s="64" t="s">
        <v>17</v>
      </c>
      <c r="H11" s="73">
        <f t="shared" si="1"/>
        <v>-646</v>
      </c>
      <c r="I11" s="38">
        <f t="shared" si="2"/>
        <v>721</v>
      </c>
      <c r="J11" s="67">
        <f>IF(AND(H11="",I11=""),"",ASIN(((H11-$H$11)-(I11-$I$11))/(2*25000))*180/PI()*60)</f>
        <v>0</v>
      </c>
      <c r="K11" s="76">
        <v>-646</v>
      </c>
      <c r="L11" s="38">
        <v>721</v>
      </c>
      <c r="M11" s="57">
        <f>IF(AND(K11="",L11=""),"",ASIN(((K11-L11))/(2*25000))*180/PI())</f>
        <v>-1.566661826819848</v>
      </c>
      <c r="N11" s="77" t="str" cm="1">
        <f t="array" ref="N11">IF(M11="", M11,Degms(M11))</f>
        <v>-01º 33' 59''</v>
      </c>
      <c r="O11" s="76">
        <v>-317</v>
      </c>
      <c r="P11" s="38">
        <v>310</v>
      </c>
      <c r="Q11" s="70">
        <f t="shared" si="0"/>
        <v>-0.7185079070194641</v>
      </c>
      <c r="R11" s="77" t="str" cm="1">
        <f t="array" ref="R11">IF(Q11="", Q11,Degms(Q11))</f>
        <v>-00º 43' 06''</v>
      </c>
    </row>
    <row r="12" spans="2:22" ht="14.4" thickBot="1" x14ac:dyDescent="0.35">
      <c r="B12" s="44"/>
      <c r="C12" s="40"/>
      <c r="D12" s="40"/>
      <c r="E12" s="40"/>
      <c r="F12" s="41"/>
      <c r="G12" s="65" t="s">
        <v>18</v>
      </c>
      <c r="H12" s="72">
        <f t="shared" si="1"/>
        <v>-647</v>
      </c>
      <c r="I12" s="40">
        <f t="shared" si="2"/>
        <v>721</v>
      </c>
      <c r="J12" s="68">
        <f>IF(AND(H12="",I12=""),"",ASIN(((H12-$H$12)-(I12-$I$12))/(2*25000))*180/PI()*60)</f>
        <v>0</v>
      </c>
      <c r="K12" s="75">
        <v>-647</v>
      </c>
      <c r="L12" s="40">
        <v>721</v>
      </c>
      <c r="M12" s="58">
        <f t="shared" ref="M12:M28" si="4">IF(AND(K12="",L12=""),"",ASIN(((K12-L12))/(2*25000))*180/PI())</f>
        <v>-1.5678081712360445</v>
      </c>
      <c r="N12" s="69" t="str" cm="1">
        <f t="array" ref="N12">IF(M12="", M12,Degms(M12))</f>
        <v>-01º 34' 04''</v>
      </c>
      <c r="O12" s="75">
        <v>-304</v>
      </c>
      <c r="P12" s="40">
        <v>325</v>
      </c>
      <c r="Q12" s="58">
        <f t="shared" si="0"/>
        <v>-0.72079991899384077</v>
      </c>
      <c r="R12" s="69" t="str" cm="1">
        <f t="array" ref="R12">IF(Q12="", Q12,Degms(Q12))</f>
        <v>-00º 43' 14''</v>
      </c>
    </row>
    <row r="13" spans="2:22" ht="13.8" x14ac:dyDescent="0.3">
      <c r="B13" s="43"/>
      <c r="C13" s="38"/>
      <c r="D13" s="38"/>
      <c r="E13" s="38"/>
      <c r="F13" s="39">
        <v>2</v>
      </c>
      <c r="G13" s="64" t="s">
        <v>17</v>
      </c>
      <c r="H13" s="73">
        <f t="shared" si="1"/>
        <v>-647</v>
      </c>
      <c r="I13" s="38">
        <f t="shared" si="2"/>
        <v>720</v>
      </c>
      <c r="J13" s="67">
        <f t="shared" ref="J13" si="5">IF(AND(H13="",I13=""),"",ASIN(((H13-$H$11)-(I13-$I$11))/(2*25000))*180/PI()*60)</f>
        <v>0</v>
      </c>
      <c r="K13" s="76">
        <v>-647</v>
      </c>
      <c r="L13" s="38">
        <v>720</v>
      </c>
      <c r="M13" s="57">
        <f t="shared" si="4"/>
        <v>-1.566661826819848</v>
      </c>
      <c r="N13" s="77" t="str" cm="1">
        <f t="array" ref="N13">IF(M13="", M13,Degms(M13))</f>
        <v>-01º 33' 59''</v>
      </c>
      <c r="O13" s="76">
        <v>-318</v>
      </c>
      <c r="P13" s="38">
        <v>311</v>
      </c>
      <c r="Q13" s="70">
        <f t="shared" si="0"/>
        <v>-0.72079991899384077</v>
      </c>
      <c r="R13" s="77" t="str" cm="1">
        <f t="array" ref="R13">IF(Q13="", Q13,Degms(Q13))</f>
        <v>-00º 43' 14''</v>
      </c>
      <c r="S13" s="17"/>
    </row>
    <row r="14" spans="2:22" ht="14.4" thickBot="1" x14ac:dyDescent="0.35">
      <c r="B14" s="44"/>
      <c r="C14" s="40"/>
      <c r="D14" s="40"/>
      <c r="E14" s="40"/>
      <c r="F14" s="41"/>
      <c r="G14" s="65" t="s">
        <v>18</v>
      </c>
      <c r="H14" s="72">
        <f t="shared" si="1"/>
        <v>-647</v>
      </c>
      <c r="I14" s="40">
        <f t="shared" si="2"/>
        <v>721</v>
      </c>
      <c r="J14" s="68">
        <f t="shared" ref="J14" si="6">IF(AND(H14="",I14=""),"",ASIN(((H14-$H$12)-(I14-$I$12))/(2*25000))*180/PI()*60)</f>
        <v>0</v>
      </c>
      <c r="K14" s="75">
        <v>-647</v>
      </c>
      <c r="L14" s="40">
        <v>721</v>
      </c>
      <c r="M14" s="58">
        <f t="shared" si="4"/>
        <v>-1.5678081712360445</v>
      </c>
      <c r="N14" s="69" t="str" cm="1">
        <f t="array" ref="N14">IF(M14="", M14,Degms(M14))</f>
        <v>-01º 34' 04''</v>
      </c>
      <c r="O14" s="75">
        <v>-303</v>
      </c>
      <c r="P14" s="40">
        <v>327</v>
      </c>
      <c r="Q14" s="58">
        <f t="shared" si="0"/>
        <v>-0.7219459254133711</v>
      </c>
      <c r="R14" s="69" t="str" cm="1">
        <f t="array" ref="R14">IF(Q14="", Q14,Degms(Q14))</f>
        <v>-00º 43' 19''</v>
      </c>
      <c r="S14" s="17"/>
    </row>
    <row r="15" spans="2:22" ht="13.8" x14ac:dyDescent="0.3">
      <c r="B15" s="43"/>
      <c r="C15" s="38"/>
      <c r="D15" s="38"/>
      <c r="E15" s="38"/>
      <c r="F15" s="39">
        <v>3</v>
      </c>
      <c r="G15" s="64" t="s">
        <v>17</v>
      </c>
      <c r="H15" s="73">
        <f t="shared" si="1"/>
        <v>-647</v>
      </c>
      <c r="I15" s="38">
        <f t="shared" si="2"/>
        <v>721</v>
      </c>
      <c r="J15" s="67">
        <f t="shared" ref="J15" si="7">IF(AND(H15="",I15=""),"",ASIN(((H15-$H$11)-(I15-$I$11))/(2*25000))*180/PI()*60)</f>
        <v>-6.8754935420282465E-2</v>
      </c>
      <c r="K15" s="76">
        <v>-647</v>
      </c>
      <c r="L15" s="38">
        <v>721</v>
      </c>
      <c r="M15" s="57">
        <f t="shared" si="4"/>
        <v>-1.5678081712360445</v>
      </c>
      <c r="N15" s="77" t="str" cm="1">
        <f t="array" ref="N15">IF(M15="", M15,Degms(M15))</f>
        <v>-01º 34' 04''</v>
      </c>
      <c r="O15" s="76">
        <v>-317</v>
      </c>
      <c r="P15" s="38">
        <v>311</v>
      </c>
      <c r="Q15" s="70">
        <f t="shared" si="0"/>
        <v>-0.71965391286269131</v>
      </c>
      <c r="R15" s="77" t="str" cm="1">
        <f t="array" ref="R15">IF(Q15="", Q15,Degms(Q15))</f>
        <v>-00º 43' 10''</v>
      </c>
      <c r="S15" s="17"/>
    </row>
    <row r="16" spans="2:22" ht="14.4" thickBot="1" x14ac:dyDescent="0.35">
      <c r="B16" s="44"/>
      <c r="C16" s="40"/>
      <c r="D16" s="40"/>
      <c r="E16" s="40"/>
      <c r="F16" s="41"/>
      <c r="G16" s="65" t="s">
        <v>18</v>
      </c>
      <c r="H16" s="72">
        <f t="shared" si="1"/>
        <v>-647</v>
      </c>
      <c r="I16" s="40">
        <f t="shared" si="2"/>
        <v>722</v>
      </c>
      <c r="J16" s="68">
        <f t="shared" ref="J16" si="8">IF(AND(H16="",I16=""),"",ASIN(((H16-$H$12)-(I16-$I$12))/(2*25000))*180/PI()*60)</f>
        <v>-6.8754935420282465E-2</v>
      </c>
      <c r="K16" s="75">
        <v>-647</v>
      </c>
      <c r="L16" s="40">
        <v>722</v>
      </c>
      <c r="M16" s="58">
        <f>IF(AND(K16="",L16=""),"",ASIN(((K16-L16))/(2*25000))*180/PI())</f>
        <v>-1.5689545162799909</v>
      </c>
      <c r="N16" s="69" t="str" cm="1">
        <f t="array" ref="N16">IF(M16="", M16,Degms(M16))</f>
        <v>-01º 34' 08''</v>
      </c>
      <c r="O16" s="75">
        <v>-304</v>
      </c>
      <c r="P16" s="40">
        <v>325</v>
      </c>
      <c r="Q16" s="58">
        <f t="shared" si="0"/>
        <v>-0.72079991899384077</v>
      </c>
      <c r="R16" s="69" t="str" cm="1">
        <f t="array" ref="R16">IF(Q16="", Q16,Degms(Q16))</f>
        <v>-00º 43' 14''</v>
      </c>
      <c r="S16" s="17"/>
    </row>
    <row r="17" spans="2:21" ht="13.8" x14ac:dyDescent="0.3">
      <c r="B17" s="43"/>
      <c r="C17" s="38"/>
      <c r="D17" s="38"/>
      <c r="E17" s="38" t="s">
        <v>20</v>
      </c>
      <c r="F17" s="39">
        <v>1</v>
      </c>
      <c r="G17" s="64" t="s">
        <v>17</v>
      </c>
      <c r="H17" s="73">
        <f t="shared" si="1"/>
        <v>-1180</v>
      </c>
      <c r="I17" s="38">
        <f t="shared" si="2"/>
        <v>1255</v>
      </c>
      <c r="J17" s="67">
        <f>IF(AND(H17="",I17=""),"",ASIN(((H17-$H$17)-(I17-$I$17))/(2*25000))*180/PI()*60)</f>
        <v>0</v>
      </c>
      <c r="K17" s="76">
        <v>-1180</v>
      </c>
      <c r="L17" s="38">
        <v>1255</v>
      </c>
      <c r="M17" s="57">
        <f t="shared" si="4"/>
        <v>-2.7914085972915346</v>
      </c>
      <c r="N17" s="77" t="str" cm="1">
        <f t="array" ref="N17">IF(M17="", M17,Degms(M17))</f>
        <v>-02º 47' 29''</v>
      </c>
      <c r="O17" s="76">
        <v>-849</v>
      </c>
      <c r="P17" s="38">
        <v>840</v>
      </c>
      <c r="Q17" s="70">
        <f t="shared" si="0"/>
        <v>-1.9358197079522019</v>
      </c>
      <c r="R17" s="77" t="str" cm="1">
        <f t="array" ref="R17">IF(Q17="", Q17,Degms(Q17))</f>
        <v>-01º 56' 08''</v>
      </c>
      <c r="S17" s="17"/>
    </row>
    <row r="18" spans="2:21" ht="14.4" thickBot="1" x14ac:dyDescent="0.35">
      <c r="B18" s="44"/>
      <c r="C18" s="40"/>
      <c r="D18" s="40"/>
      <c r="E18" s="40"/>
      <c r="F18" s="41"/>
      <c r="G18" s="65" t="s">
        <v>18</v>
      </c>
      <c r="H18" s="72">
        <f t="shared" si="1"/>
        <v>-1181</v>
      </c>
      <c r="I18" s="40">
        <f t="shared" si="2"/>
        <v>1255</v>
      </c>
      <c r="J18" s="68">
        <f>IF(AND(H18="",I18=""),"",ASIN(((H18-$H$18)-(I18-$I$18))/(2*25000))*180/PI()*60)</f>
        <v>0</v>
      </c>
      <c r="K18" s="75">
        <v>-1181</v>
      </c>
      <c r="L18" s="40">
        <v>1255</v>
      </c>
      <c r="M18" s="58">
        <f t="shared" si="4"/>
        <v>-2.7925558747421144</v>
      </c>
      <c r="N18" s="69" t="str" cm="1">
        <f t="array" ref="N18">IF(M18="", M18,Degms(M18))</f>
        <v>-02º 47' 33''</v>
      </c>
      <c r="O18" s="75">
        <v>-832</v>
      </c>
      <c r="P18" s="40">
        <v>856</v>
      </c>
      <c r="Q18" s="58">
        <f t="shared" si="0"/>
        <v>-1.9346731383940623</v>
      </c>
      <c r="R18" s="69" t="str" cm="1">
        <f t="array" ref="R18">IF(Q18="", Q18,Degms(Q18))</f>
        <v>-01º 56' 04''</v>
      </c>
      <c r="S18" s="17"/>
    </row>
    <row r="19" spans="2:21" ht="13.8" x14ac:dyDescent="0.3">
      <c r="B19" s="43"/>
      <c r="C19" s="38"/>
      <c r="D19" s="38"/>
      <c r="E19" s="38"/>
      <c r="F19" s="39">
        <v>2</v>
      </c>
      <c r="G19" s="64" t="s">
        <v>17</v>
      </c>
      <c r="H19" s="73">
        <f t="shared" ref="H19:H28" si="9">K19</f>
        <v>-1181</v>
      </c>
      <c r="I19" s="38">
        <f t="shared" ref="I19:I28" si="10">L19</f>
        <v>1254</v>
      </c>
      <c r="J19" s="67">
        <f t="shared" ref="J19" si="11">IF(AND(H19="",I19=""),"",ASIN(((H19-$H$17)-(I19-$I$17))/(2*25000))*180/PI()*60)</f>
        <v>0</v>
      </c>
      <c r="K19" s="76">
        <v>-1181</v>
      </c>
      <c r="L19" s="38">
        <v>1254</v>
      </c>
      <c r="M19" s="57">
        <f t="shared" si="4"/>
        <v>-2.7914085972915346</v>
      </c>
      <c r="N19" s="77" t="str" cm="1">
        <f t="array" ref="N19">IF(M19="", M19,Degms(M19))</f>
        <v>-02º 47' 29''</v>
      </c>
      <c r="O19" s="76">
        <v>-847</v>
      </c>
      <c r="P19" s="38">
        <v>841</v>
      </c>
      <c r="Q19" s="70">
        <f t="shared" si="0"/>
        <v>-1.9346731383940623</v>
      </c>
      <c r="R19" s="77" t="str" cm="1">
        <f t="array" ref="R19">IF(Q19="", Q19,Degms(Q19))</f>
        <v>-01º 56' 04''</v>
      </c>
      <c r="S19" s="17"/>
    </row>
    <row r="20" spans="2:21" ht="14.4" thickBot="1" x14ac:dyDescent="0.35">
      <c r="B20" s="44"/>
      <c r="C20" s="40"/>
      <c r="D20" s="40"/>
      <c r="E20" s="40"/>
      <c r="F20" s="41"/>
      <c r="G20" s="65" t="s">
        <v>18</v>
      </c>
      <c r="H20" s="72">
        <f t="shared" si="9"/>
        <v>-1182</v>
      </c>
      <c r="I20" s="40">
        <f t="shared" si="10"/>
        <v>1254</v>
      </c>
      <c r="J20" s="68">
        <f t="shared" ref="J20" si="12">IF(AND(H20="",I20=""),"",ASIN(((H20-$H$18)-(I20-$I$18))/(2*25000))*180/PI()*60)</f>
        <v>0</v>
      </c>
      <c r="K20" s="75">
        <v>-1182</v>
      </c>
      <c r="L20" s="40">
        <v>1254</v>
      </c>
      <c r="M20" s="58">
        <f t="shared" si="4"/>
        <v>-2.7925558747421144</v>
      </c>
      <c r="N20" s="69" t="str" cm="1">
        <f t="array" ref="N20">IF(M20="", M20,Degms(M20))</f>
        <v>-02º 47' 33''</v>
      </c>
      <c r="O20" s="75">
        <v>-834</v>
      </c>
      <c r="P20" s="40">
        <v>854</v>
      </c>
      <c r="Q20" s="58">
        <f t="shared" si="0"/>
        <v>-1.9346731383940623</v>
      </c>
      <c r="R20" s="69" t="str" cm="1">
        <f t="array" ref="R20">IF(Q20="", Q20,Degms(Q20))</f>
        <v>-01º 56' 04''</v>
      </c>
    </row>
    <row r="21" spans="2:21" ht="13.8" x14ac:dyDescent="0.3">
      <c r="B21" s="43"/>
      <c r="C21" s="38"/>
      <c r="D21" s="38"/>
      <c r="E21" s="38"/>
      <c r="F21" s="39">
        <v>3</v>
      </c>
      <c r="G21" s="64" t="s">
        <v>17</v>
      </c>
      <c r="H21" s="73">
        <f t="shared" si="9"/>
        <v>-1182</v>
      </c>
      <c r="I21" s="38">
        <f t="shared" si="10"/>
        <v>1255</v>
      </c>
      <c r="J21" s="67">
        <f t="shared" ref="J21" si="13">IF(AND(H21="",I21=""),"",ASIN(((H21-$H$17)-(I21-$I$17))/(2*25000))*180/PI()*60)</f>
        <v>-0.1375098708680669</v>
      </c>
      <c r="K21" s="76">
        <v>-1182</v>
      </c>
      <c r="L21" s="38">
        <v>1255</v>
      </c>
      <c r="M21" s="57">
        <f t="shared" si="4"/>
        <v>-2.7937031533132615</v>
      </c>
      <c r="N21" s="77" t="str" cm="1">
        <f t="array" ref="N21">IF(M21="", M21,Degms(M21))</f>
        <v>-02º 47' 37''</v>
      </c>
      <c r="O21" s="76">
        <v>-848</v>
      </c>
      <c r="P21" s="38">
        <v>843</v>
      </c>
      <c r="Q21" s="70">
        <f t="shared" si="0"/>
        <v>-1.9381128493954654</v>
      </c>
      <c r="R21" s="77" t="str" cm="1">
        <f t="array" ref="R21">IF(Q21="", Q21,Degms(Q21))</f>
        <v>-01º 56' 17''</v>
      </c>
    </row>
    <row r="22" spans="2:21" ht="14.4" thickBot="1" x14ac:dyDescent="0.35">
      <c r="B22" s="44"/>
      <c r="C22" s="40"/>
      <c r="D22" s="40"/>
      <c r="E22" s="40"/>
      <c r="F22" s="41"/>
      <c r="G22" s="65" t="s">
        <v>18</v>
      </c>
      <c r="H22" s="72">
        <f t="shared" si="9"/>
        <v>-1182</v>
      </c>
      <c r="I22" s="40">
        <f t="shared" si="10"/>
        <v>1255</v>
      </c>
      <c r="J22" s="68">
        <f t="shared" ref="J22" si="14">IF(AND(H22="",I22=""),"",ASIN(((H22-$H$18)-(I22-$I$18))/(2*25000))*180/PI()*60)</f>
        <v>-6.8754935420282465E-2</v>
      </c>
      <c r="K22" s="75">
        <v>-1182</v>
      </c>
      <c r="L22" s="40">
        <v>1255</v>
      </c>
      <c r="M22" s="58">
        <f t="shared" si="4"/>
        <v>-2.7937031533132615</v>
      </c>
      <c r="N22" s="69" t="str" cm="1">
        <f t="array" ref="N22">IF(M22="", M22,Degms(M22))</f>
        <v>-02º 47' 37''</v>
      </c>
      <c r="O22" s="75">
        <v>-838</v>
      </c>
      <c r="P22" s="40">
        <v>851</v>
      </c>
      <c r="Q22" s="58">
        <f t="shared" si="0"/>
        <v>-1.9358197079522019</v>
      </c>
      <c r="R22" s="69" t="str" cm="1">
        <f t="array" ref="R22">IF(Q22="", Q22,Degms(Q22))</f>
        <v>-01º 56' 08''</v>
      </c>
    </row>
    <row r="23" spans="2:21" ht="13.8" x14ac:dyDescent="0.3">
      <c r="B23" s="43"/>
      <c r="C23" s="38"/>
      <c r="D23" s="38"/>
      <c r="E23" s="38" t="s">
        <v>24</v>
      </c>
      <c r="F23" s="39">
        <v>1</v>
      </c>
      <c r="G23" s="64" t="s">
        <v>17</v>
      </c>
      <c r="H23" s="73">
        <f t="shared" si="9"/>
        <v>-1792</v>
      </c>
      <c r="I23" s="38">
        <f t="shared" si="10"/>
        <v>1867</v>
      </c>
      <c r="J23" s="67">
        <f>IF(AND(H23="",I23=""),"",ASIN(((H23-$H$23)-(I23-$I$23))/(2*25000))*180/PI()*60)</f>
        <v>0</v>
      </c>
      <c r="K23" s="43">
        <v>-1792</v>
      </c>
      <c r="L23" s="38">
        <v>1867</v>
      </c>
      <c r="M23" s="57">
        <f t="shared" si="4"/>
        <v>-4.1966565785149061</v>
      </c>
      <c r="N23" s="77" t="str" cm="1">
        <f t="array" ref="N23">IF(M23="", M23,Degms(M23))</f>
        <v>-04º 11' 47''</v>
      </c>
      <c r="O23" s="76">
        <v>-1457</v>
      </c>
      <c r="P23" s="38">
        <v>1446</v>
      </c>
      <c r="Q23" s="70">
        <f t="shared" si="0"/>
        <v>-3.3284647699649383</v>
      </c>
      <c r="R23" s="77" t="str" cm="1">
        <f t="array" ref="R23">IF(Q23="", Q23,Degms(Q23))</f>
        <v>-03º 19' 42''</v>
      </c>
    </row>
    <row r="24" spans="2:21" ht="14.4" thickBot="1" x14ac:dyDescent="0.35">
      <c r="B24" s="44"/>
      <c r="C24" s="40"/>
      <c r="D24" s="40"/>
      <c r="E24" s="40"/>
      <c r="F24" s="41"/>
      <c r="G24" s="65" t="s">
        <v>18</v>
      </c>
      <c r="H24" s="72">
        <f t="shared" si="9"/>
        <v>-1792</v>
      </c>
      <c r="I24" s="40">
        <f t="shared" si="10"/>
        <v>1868</v>
      </c>
      <c r="J24" s="68">
        <f>IF(AND(H24="",I24=""),"",ASIN(((H24-$H$24)-(I24-$I$24))/(2*25000))*180/PI()*60)</f>
        <v>0</v>
      </c>
      <c r="K24" s="44">
        <v>-1792</v>
      </c>
      <c r="L24" s="40">
        <v>1868</v>
      </c>
      <c r="M24" s="58">
        <f t="shared" si="4"/>
        <v>-4.1978055756979042</v>
      </c>
      <c r="N24" s="69" t="str" cm="1">
        <f t="array" ref="N24">IF(M24="", M24,Degms(M24))</f>
        <v>-04º 11' 52''</v>
      </c>
      <c r="O24" s="75">
        <v>-1445</v>
      </c>
      <c r="P24" s="40">
        <v>1459</v>
      </c>
      <c r="Q24" s="58">
        <f t="shared" si="0"/>
        <v>-3.3296126225406644</v>
      </c>
      <c r="R24" s="69" t="str" cm="1">
        <f t="array" ref="R24">IF(Q24="", Q24,Degms(Q24))</f>
        <v>-03º 19' 46''</v>
      </c>
    </row>
    <row r="25" spans="2:21" ht="13.8" x14ac:dyDescent="0.3">
      <c r="B25" s="43"/>
      <c r="C25" s="38"/>
      <c r="D25" s="38"/>
      <c r="E25" s="38"/>
      <c r="F25" s="39">
        <v>2</v>
      </c>
      <c r="G25" s="64" t="s">
        <v>17</v>
      </c>
      <c r="H25" s="73">
        <f t="shared" si="9"/>
        <v>-1792</v>
      </c>
      <c r="I25" s="38">
        <f t="shared" si="10"/>
        <v>1867</v>
      </c>
      <c r="J25" s="67">
        <f t="shared" ref="J25" si="15">IF(AND(H25="",I25=""),"",ASIN(((H25-$H$23)-(I25-$I$23))/(2*25000))*180/PI()*60)</f>
        <v>0</v>
      </c>
      <c r="K25" s="43">
        <v>-1792</v>
      </c>
      <c r="L25" s="38">
        <v>1867</v>
      </c>
      <c r="M25" s="57">
        <f t="shared" si="4"/>
        <v>-4.1966565785149061</v>
      </c>
      <c r="N25" s="77" t="str" cm="1">
        <f t="array" ref="N25">IF(M25="", M25,Degms(M25))</f>
        <v>-04º 11' 47''</v>
      </c>
      <c r="O25" s="76">
        <v>-1455</v>
      </c>
      <c r="P25" s="38">
        <v>1449</v>
      </c>
      <c r="Q25" s="70">
        <f t="shared" si="0"/>
        <v>-3.3296126225406644</v>
      </c>
      <c r="R25" s="77" t="str" cm="1">
        <f t="array" ref="R25">IF(Q25="", Q25,Degms(Q25))</f>
        <v>-03º 19' 46''</v>
      </c>
    </row>
    <row r="26" spans="2:21" ht="14.4" thickBot="1" x14ac:dyDescent="0.35">
      <c r="B26" s="44"/>
      <c r="C26" s="40"/>
      <c r="D26" s="40"/>
      <c r="E26" s="40"/>
      <c r="F26" s="41"/>
      <c r="G26" s="65" t="s">
        <v>18</v>
      </c>
      <c r="H26" s="72">
        <f t="shared" si="9"/>
        <v>-1792</v>
      </c>
      <c r="I26" s="40">
        <f t="shared" si="10"/>
        <v>1867</v>
      </c>
      <c r="J26" s="68">
        <f t="shared" ref="J26" si="16">IF(AND(H26="",I26=""),"",ASIN(((H26-$H$24)-(I26-$I$24))/(2*25000))*180/PI()*60)</f>
        <v>6.8754935420282465E-2</v>
      </c>
      <c r="K26" s="44">
        <v>-1792</v>
      </c>
      <c r="L26" s="40">
        <v>1867</v>
      </c>
      <c r="M26" s="58">
        <f t="shared" si="4"/>
        <v>-4.1966565785149061</v>
      </c>
      <c r="N26" s="69" t="str" cm="1">
        <f t="array" ref="N26">IF(M26="", M26,Degms(M26))</f>
        <v>-04º 11' 47''</v>
      </c>
      <c r="O26" s="75">
        <v>-1446</v>
      </c>
      <c r="P26" s="40">
        <v>1462</v>
      </c>
      <c r="Q26" s="58">
        <f t="shared" si="0"/>
        <v>-3.3342040462268119</v>
      </c>
      <c r="R26" s="69" t="str" cm="1">
        <f t="array" ref="R26">IF(Q26="", Q26,Degms(Q26))</f>
        <v>-03º 20' 03''</v>
      </c>
    </row>
    <row r="27" spans="2:21" ht="13.8" x14ac:dyDescent="0.3">
      <c r="B27" s="43"/>
      <c r="C27" s="38"/>
      <c r="D27" s="38"/>
      <c r="E27" s="38"/>
      <c r="F27" s="39">
        <v>3</v>
      </c>
      <c r="G27" s="64" t="s">
        <v>17</v>
      </c>
      <c r="H27" s="73">
        <f t="shared" si="9"/>
        <v>-1793</v>
      </c>
      <c r="I27" s="38">
        <f t="shared" si="10"/>
        <v>1867</v>
      </c>
      <c r="J27" s="67">
        <f t="shared" ref="J27" si="17">IF(AND(H27="",I27=""),"",ASIN(((H27-$H$23)-(I27-$I$23))/(2*25000))*180/PI()*60)</f>
        <v>-6.8754935420282465E-2</v>
      </c>
      <c r="K27" s="43">
        <v>-1793</v>
      </c>
      <c r="L27" s="38">
        <v>1867</v>
      </c>
      <c r="M27" s="57">
        <f t="shared" si="4"/>
        <v>-4.1978055756979042</v>
      </c>
      <c r="N27" s="77" t="str" cm="1">
        <f t="array" ref="N27">IF(M27="", M27,Degms(M27))</f>
        <v>-04º 11' 52''</v>
      </c>
      <c r="O27" s="76">
        <v>-1455</v>
      </c>
      <c r="P27" s="38">
        <v>1448</v>
      </c>
      <c r="Q27" s="70">
        <f t="shared" si="0"/>
        <v>-3.3284647699649383</v>
      </c>
      <c r="R27" s="77" t="str" cm="1">
        <f t="array" ref="R27">IF(Q27="", Q27,Degms(Q27))</f>
        <v>-03º 19' 42''</v>
      </c>
    </row>
    <row r="28" spans="2:21" ht="14.4" thickBot="1" x14ac:dyDescent="0.35">
      <c r="B28" s="44"/>
      <c r="C28" s="40"/>
      <c r="D28" s="40"/>
      <c r="E28" s="40"/>
      <c r="F28" s="41"/>
      <c r="G28" s="65" t="s">
        <v>18</v>
      </c>
      <c r="H28" s="72">
        <f t="shared" si="9"/>
        <v>-1793</v>
      </c>
      <c r="I28" s="40">
        <f t="shared" si="10"/>
        <v>1867</v>
      </c>
      <c r="J28" s="68">
        <f t="shared" ref="J28" si="18">IF(AND(H28="",I28=""),"",ASIN(((H28-$H$24)-(I28-$I$24))/(2*25000))*180/PI()*60)</f>
        <v>0</v>
      </c>
      <c r="K28" s="44">
        <v>-1793</v>
      </c>
      <c r="L28" s="40">
        <v>1867</v>
      </c>
      <c r="M28" s="58">
        <f t="shared" si="4"/>
        <v>-4.1978055756979042</v>
      </c>
      <c r="N28" s="69" t="str" cm="1">
        <f t="array" ref="N28">IF(M28="", M28,Degms(M28))</f>
        <v>-04º 11' 52''</v>
      </c>
      <c r="O28" s="75">
        <v>-1446</v>
      </c>
      <c r="P28" s="40">
        <v>1469</v>
      </c>
      <c r="Q28" s="58">
        <f t="shared" si="0"/>
        <v>-3.3422390892747416</v>
      </c>
      <c r="R28" s="69" t="str" cm="1">
        <f t="array" ref="R28">IF(Q28="", Q28,Degms(Q28))</f>
        <v>-03º 20' 32''</v>
      </c>
    </row>
    <row r="29" spans="2:21" ht="13.8" x14ac:dyDescent="0.3">
      <c r="B29" s="42"/>
      <c r="C29" s="34"/>
      <c r="D29" s="34"/>
      <c r="E29" s="34"/>
      <c r="F29" s="35"/>
      <c r="G29" s="63"/>
      <c r="H29" s="42"/>
      <c r="I29" s="34"/>
      <c r="J29" s="36" t="str">
        <f t="shared" ref="J29" si="19">IF(AND(H29="",I29=""),"",ASIN(((H29-$H$5)-(I29-$I$5))/(2*25000))*180/PI()*60)</f>
        <v/>
      </c>
      <c r="K29" s="9"/>
      <c r="L29" s="34"/>
      <c r="M29" s="37" t="str">
        <f t="shared" ref="M29:M37" si="20">IF(AND(K29="",L29=""),"",ASIN(((K29-$K$5)-(L29-$L$5))/(2*20000))*180/PI()*60*60)</f>
        <v/>
      </c>
      <c r="N29" s="36"/>
      <c r="O29" s="9"/>
      <c r="P29" s="34"/>
      <c r="Q29" s="37" t="str">
        <f t="shared" ref="Q29:Q37" si="21">IF(AND(O29="",P29=""),"",ASIN(((O29-$K$5)-(P29-$L$5))/(2*25000))*180/PI()*60*60)</f>
        <v/>
      </c>
      <c r="R29" s="36"/>
      <c r="U29" s="19"/>
    </row>
    <row r="30" spans="2:21" ht="13.8" x14ac:dyDescent="0.3">
      <c r="B30" s="30"/>
      <c r="C30" s="6"/>
      <c r="D30" s="6"/>
      <c r="E30" s="6"/>
      <c r="F30" s="25"/>
      <c r="G30" s="62"/>
      <c r="H30" s="30"/>
      <c r="I30" s="6"/>
      <c r="J30" s="29" t="str">
        <f t="shared" ref="J30" si="22">IF(AND(H30="",I30=""),"",ASIN(((H30-$H$6)-(I30-$I$6))/(2*25000))*180/PI()*60)</f>
        <v/>
      </c>
      <c r="K30" s="22"/>
      <c r="L30" s="6"/>
      <c r="M30" s="18" t="str">
        <f t="shared" si="20"/>
        <v/>
      </c>
      <c r="N30" s="29"/>
      <c r="O30" s="22"/>
      <c r="P30" s="6"/>
      <c r="Q30" s="18" t="str">
        <f t="shared" si="21"/>
        <v/>
      </c>
      <c r="R30" s="29"/>
      <c r="U30" s="19"/>
    </row>
    <row r="31" spans="2:21" ht="13.8" x14ac:dyDescent="0.3">
      <c r="B31" s="30"/>
      <c r="C31" s="6"/>
      <c r="D31" s="6"/>
      <c r="E31" s="6"/>
      <c r="F31" s="25"/>
      <c r="G31" s="62"/>
      <c r="H31" s="30"/>
      <c r="I31" s="6"/>
      <c r="J31" s="29" t="str">
        <f t="shared" ref="J31" si="23">IF(AND(H31="",I31=""),"",ASIN(((H31-$H$5)-(I31-$I$5))/(2*25000))*180/PI()*60)</f>
        <v/>
      </c>
      <c r="K31" s="22"/>
      <c r="L31" s="6"/>
      <c r="M31" s="18" t="str">
        <f t="shared" si="20"/>
        <v/>
      </c>
      <c r="N31" s="29"/>
      <c r="O31" s="22"/>
      <c r="P31" s="6"/>
      <c r="Q31" s="18" t="str">
        <f t="shared" si="21"/>
        <v/>
      </c>
      <c r="R31" s="29"/>
      <c r="U31" s="19"/>
    </row>
    <row r="32" spans="2:21" ht="13.8" x14ac:dyDescent="0.3">
      <c r="B32" s="30"/>
      <c r="C32" s="6"/>
      <c r="D32" s="6"/>
      <c r="E32" s="6"/>
      <c r="F32" s="25"/>
      <c r="G32" s="62"/>
      <c r="H32" s="30"/>
      <c r="I32" s="6"/>
      <c r="J32" s="29" t="str">
        <f t="shared" ref="J32" si="24">IF(AND(H32="",I32=""),"",ASIN(((H32-$H$6)-(I32-$I$6))/(2*25000))*180/PI()*60)</f>
        <v/>
      </c>
      <c r="K32" s="22"/>
      <c r="L32" s="6"/>
      <c r="M32" s="18" t="str">
        <f t="shared" si="20"/>
        <v/>
      </c>
      <c r="N32" s="29"/>
      <c r="O32" s="22"/>
      <c r="P32" s="6"/>
      <c r="Q32" s="18" t="str">
        <f t="shared" si="21"/>
        <v/>
      </c>
      <c r="R32" s="29"/>
      <c r="U32" s="19"/>
    </row>
    <row r="33" spans="2:21" ht="13.8" x14ac:dyDescent="0.3">
      <c r="B33" s="30"/>
      <c r="C33" s="6"/>
      <c r="D33" s="6"/>
      <c r="E33" s="6"/>
      <c r="F33" s="25"/>
      <c r="G33" s="62"/>
      <c r="H33" s="30"/>
      <c r="I33" s="6"/>
      <c r="J33" s="29" t="str">
        <f t="shared" ref="J33" si="25">IF(AND(H33="",I33=""),"",ASIN(((H33-$H$5)-(I33-$I$5))/(2*25000))*180/PI()*60)</f>
        <v/>
      </c>
      <c r="K33" s="22"/>
      <c r="L33" s="6"/>
      <c r="M33" s="18" t="str">
        <f t="shared" si="20"/>
        <v/>
      </c>
      <c r="N33" s="29"/>
      <c r="O33" s="22"/>
      <c r="P33" s="6"/>
      <c r="Q33" s="18" t="str">
        <f t="shared" si="21"/>
        <v/>
      </c>
      <c r="R33" s="29"/>
      <c r="U33" s="19"/>
    </row>
    <row r="34" spans="2:21" ht="13.8" x14ac:dyDescent="0.3">
      <c r="B34" s="30"/>
      <c r="C34" s="6"/>
      <c r="D34" s="6"/>
      <c r="E34" s="6"/>
      <c r="F34" s="25"/>
      <c r="G34" s="62"/>
      <c r="H34" s="30"/>
      <c r="I34" s="6"/>
      <c r="J34" s="29" t="str">
        <f t="shared" ref="J34" si="26">IF(AND(H34="",I34=""),"",ASIN(((H34-$H$6)-(I34-$I$6))/(2*25000))*180/PI()*60)</f>
        <v/>
      </c>
      <c r="K34" s="22"/>
      <c r="L34" s="6"/>
      <c r="M34" s="18" t="str">
        <f t="shared" si="20"/>
        <v/>
      </c>
      <c r="N34" s="29"/>
      <c r="O34" s="22"/>
      <c r="P34" s="6"/>
      <c r="Q34" s="18" t="str">
        <f t="shared" si="21"/>
        <v/>
      </c>
      <c r="R34" s="29"/>
      <c r="U34" s="19"/>
    </row>
    <row r="35" spans="2:21" ht="13.8" x14ac:dyDescent="0.3">
      <c r="B35" s="30"/>
      <c r="C35" s="6"/>
      <c r="D35" s="6"/>
      <c r="E35" s="6"/>
      <c r="F35" s="25"/>
      <c r="G35" s="62"/>
      <c r="H35" s="30"/>
      <c r="I35" s="6"/>
      <c r="J35" s="29" t="str">
        <f t="shared" ref="J35" si="27">IF(AND(H35="",I35=""),"",ASIN(((H35-$H$5)-(I35-$I$5))/(2*25000))*180/PI()*60)</f>
        <v/>
      </c>
      <c r="K35" s="22"/>
      <c r="L35" s="6"/>
      <c r="M35" s="18" t="str">
        <f t="shared" si="20"/>
        <v/>
      </c>
      <c r="N35" s="29"/>
      <c r="O35" s="22"/>
      <c r="P35" s="6"/>
      <c r="Q35" s="18" t="str">
        <f t="shared" si="21"/>
        <v/>
      </c>
      <c r="R35" s="29"/>
      <c r="U35" s="19"/>
    </row>
    <row r="36" spans="2:21" ht="13.8" x14ac:dyDescent="0.3">
      <c r="B36" s="30"/>
      <c r="C36" s="6"/>
      <c r="D36" s="6"/>
      <c r="E36" s="6"/>
      <c r="F36" s="25"/>
      <c r="G36" s="62"/>
      <c r="H36" s="30"/>
      <c r="I36" s="6"/>
      <c r="J36" s="29" t="str">
        <f t="shared" ref="J36" si="28">IF(AND(H36="",I36=""),"",ASIN(((H36-$H$6)-(I36-$I$6))/(2*25000))*180/PI()*60)</f>
        <v/>
      </c>
      <c r="K36" s="22"/>
      <c r="L36" s="6"/>
      <c r="M36" s="18" t="str">
        <f t="shared" si="20"/>
        <v/>
      </c>
      <c r="N36" s="29"/>
      <c r="O36" s="22"/>
      <c r="P36" s="6"/>
      <c r="Q36" s="18" t="str">
        <f t="shared" si="21"/>
        <v/>
      </c>
      <c r="R36" s="29"/>
      <c r="U36" s="19"/>
    </row>
    <row r="37" spans="2:21" ht="13.8" x14ac:dyDescent="0.3">
      <c r="B37" s="30"/>
      <c r="C37" s="6"/>
      <c r="D37" s="6"/>
      <c r="E37" s="6"/>
      <c r="F37" s="25"/>
      <c r="G37" s="62"/>
      <c r="H37" s="30"/>
      <c r="I37" s="6"/>
      <c r="J37" s="29" t="str">
        <f t="shared" ref="J37" si="29">IF(AND(H37="",I37=""),"",ASIN(((H37-$H$5)-(I37-$I$5))/(2*25000))*180/PI()*60)</f>
        <v/>
      </c>
      <c r="K37" s="22"/>
      <c r="L37" s="6"/>
      <c r="M37" s="18" t="str">
        <f t="shared" si="20"/>
        <v/>
      </c>
      <c r="N37" s="29"/>
      <c r="O37" s="22"/>
      <c r="P37" s="6"/>
      <c r="Q37" s="18" t="str">
        <f t="shared" si="21"/>
        <v/>
      </c>
      <c r="R37" s="29"/>
      <c r="U37" s="19"/>
    </row>
    <row r="38" spans="2:21" x14ac:dyDescent="0.25">
      <c r="B38" s="46" t="s">
        <v>10</v>
      </c>
      <c r="C38" s="8"/>
      <c r="D38" s="8"/>
      <c r="E38" s="10"/>
      <c r="F38" s="11" t="s">
        <v>11</v>
      </c>
      <c r="G38" s="8"/>
      <c r="H38" s="8"/>
      <c r="I38" s="8"/>
      <c r="J38" s="12" t="str">
        <f>IF(AND(H38="",I38=""), "",ATAN(((I38-$I$5)-(H38-$H$5))/($D$2*10))*180/PI()*60)</f>
        <v/>
      </c>
      <c r="K38" s="7" t="s">
        <v>12</v>
      </c>
      <c r="L38" s="13"/>
      <c r="M38" s="14"/>
      <c r="N38" s="14"/>
      <c r="O38" s="13"/>
      <c r="P38" s="13"/>
      <c r="Q38" s="15" t="str">
        <f>IF(AND(O38="",P38=""),"",ASIN(((O38-$K$5)-(P38-$L$5))/50000)*60)</f>
        <v/>
      </c>
      <c r="R38" s="78"/>
    </row>
    <row r="39" spans="2:21" ht="12.6" thickBot="1" x14ac:dyDescent="0.3">
      <c r="B39" s="47"/>
      <c r="C39" s="48"/>
      <c r="D39" s="48"/>
      <c r="E39" s="49"/>
      <c r="F39" s="50"/>
      <c r="G39" s="48"/>
      <c r="H39" s="48"/>
      <c r="I39" s="48"/>
      <c r="J39" s="51"/>
      <c r="K39" s="50"/>
      <c r="L39" s="48"/>
      <c r="M39" s="52"/>
      <c r="N39" s="52"/>
      <c r="O39" s="48"/>
      <c r="P39" s="48"/>
      <c r="Q39" s="53" t="str">
        <f>IF(AND(O39="",P39=""),"",ASIN(((O39-$K$5)-(P39-$L$5))/50000)*60)</f>
        <v/>
      </c>
      <c r="R39" s="79"/>
    </row>
  </sheetData>
  <mergeCells count="8">
    <mergeCell ref="B1:R1"/>
    <mergeCell ref="O3:R3"/>
    <mergeCell ref="K3:N3"/>
    <mergeCell ref="E3:F3"/>
    <mergeCell ref="H3:J3"/>
    <mergeCell ref="B3:B4"/>
    <mergeCell ref="C3:C4"/>
    <mergeCell ref="D3:D4"/>
  </mergeCells>
  <pageMargins left="0.25" right="0.25" top="0.75" bottom="0.75" header="0.3" footer="0.3"/>
  <pageSetup paperSize="9" scale="9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B2:R17"/>
  <sheetViews>
    <sheetView tabSelected="1" topLeftCell="A2" zoomScale="103" workbookViewId="0">
      <selection activeCell="U7" sqref="U7"/>
    </sheetView>
  </sheetViews>
  <sheetFormatPr defaultRowHeight="14.4" x14ac:dyDescent="0.3"/>
  <sheetData>
    <row r="2" spans="2:18" ht="15.6" x14ac:dyDescent="0.3">
      <c r="B2" s="93" t="s">
        <v>27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</row>
    <row r="3" spans="2:18" x14ac:dyDescent="0.3">
      <c r="B3" s="26" t="s">
        <v>9</v>
      </c>
      <c r="C3" s="3"/>
      <c r="D3" s="16">
        <f>101.25-(2*1.3/2)</f>
        <v>99.95</v>
      </c>
      <c r="E3" s="3"/>
      <c r="F3" s="23"/>
      <c r="G3" s="59"/>
      <c r="H3" s="26"/>
      <c r="I3" s="3"/>
      <c r="J3" s="23"/>
      <c r="K3" s="20"/>
      <c r="L3" s="3"/>
      <c r="M3" s="3"/>
      <c r="N3" s="23"/>
      <c r="O3" s="20"/>
      <c r="P3" s="4"/>
      <c r="Q3" s="4" t="s">
        <v>13</v>
      </c>
      <c r="R3" s="23"/>
    </row>
    <row r="4" spans="2:18" x14ac:dyDescent="0.3">
      <c r="B4" s="91" t="s">
        <v>0</v>
      </c>
      <c r="C4" s="92" t="s">
        <v>1</v>
      </c>
      <c r="D4" s="88" t="s">
        <v>2</v>
      </c>
      <c r="E4" s="88" t="s">
        <v>6</v>
      </c>
      <c r="F4" s="89"/>
      <c r="G4" s="60"/>
      <c r="H4" s="90" t="s">
        <v>21</v>
      </c>
      <c r="I4" s="86"/>
      <c r="J4" s="87"/>
      <c r="K4" s="85" t="s">
        <v>4</v>
      </c>
      <c r="L4" s="86"/>
      <c r="M4" s="86"/>
      <c r="N4" s="87"/>
      <c r="O4" s="85" t="s">
        <v>26</v>
      </c>
      <c r="P4" s="86"/>
      <c r="Q4" s="86"/>
      <c r="R4" s="87"/>
    </row>
    <row r="5" spans="2:18" ht="26.4" x14ac:dyDescent="0.3">
      <c r="B5" s="91"/>
      <c r="C5" s="92"/>
      <c r="D5" s="88"/>
      <c r="E5" s="4" t="s">
        <v>8</v>
      </c>
      <c r="F5" s="24" t="s">
        <v>7</v>
      </c>
      <c r="G5" s="61" t="s">
        <v>25</v>
      </c>
      <c r="H5" s="27" t="s">
        <v>19</v>
      </c>
      <c r="I5" s="4" t="s">
        <v>22</v>
      </c>
      <c r="J5" s="28" t="s">
        <v>3</v>
      </c>
      <c r="K5" s="21" t="s">
        <v>19</v>
      </c>
      <c r="L5" s="4" t="s">
        <v>5</v>
      </c>
      <c r="M5" s="5" t="s">
        <v>16</v>
      </c>
      <c r="N5" s="31" t="s">
        <v>23</v>
      </c>
      <c r="O5" s="80" t="s">
        <v>14</v>
      </c>
      <c r="P5" s="5" t="s">
        <v>15</v>
      </c>
      <c r="Q5" s="5" t="s">
        <v>16</v>
      </c>
      <c r="R5" s="31" t="s">
        <v>23</v>
      </c>
    </row>
    <row r="6" spans="2:18" x14ac:dyDescent="0.3">
      <c r="B6" s="54">
        <v>45364</v>
      </c>
      <c r="C6" s="55">
        <v>0.38541666666666669</v>
      </c>
      <c r="D6" s="6">
        <v>17.7</v>
      </c>
      <c r="E6" s="6" t="s">
        <v>17</v>
      </c>
      <c r="F6" s="25">
        <v>1</v>
      </c>
      <c r="G6" s="64" t="s">
        <v>17</v>
      </c>
      <c r="H6" s="71"/>
      <c r="I6" s="6"/>
      <c r="J6" s="66"/>
      <c r="K6" s="74"/>
      <c r="L6" s="6"/>
      <c r="M6" s="81"/>
      <c r="N6" s="77"/>
      <c r="O6" s="74"/>
      <c r="P6" s="6"/>
      <c r="Q6" s="56"/>
      <c r="R6" s="77"/>
    </row>
    <row r="7" spans="2:18" ht="15" thickBot="1" x14ac:dyDescent="0.35">
      <c r="B7" s="45"/>
      <c r="C7" s="32"/>
      <c r="D7" s="32"/>
      <c r="E7" s="32"/>
      <c r="F7" s="33"/>
      <c r="G7" s="65" t="s">
        <v>18</v>
      </c>
      <c r="H7" s="72"/>
      <c r="I7" s="40"/>
      <c r="J7" s="68"/>
      <c r="K7" s="75"/>
      <c r="L7" s="40"/>
      <c r="M7" s="58"/>
      <c r="N7" s="69"/>
      <c r="O7" s="75"/>
      <c r="P7" s="40"/>
      <c r="Q7" s="58"/>
      <c r="R7" s="69"/>
    </row>
    <row r="8" spans="2:18" x14ac:dyDescent="0.3">
      <c r="B8" s="43"/>
      <c r="C8" s="38"/>
      <c r="D8" s="38"/>
      <c r="E8" s="38"/>
      <c r="F8" s="39">
        <v>2</v>
      </c>
      <c r="G8" s="64" t="s">
        <v>17</v>
      </c>
      <c r="H8" s="73"/>
      <c r="I8" s="38"/>
      <c r="J8" s="67"/>
      <c r="K8" s="76"/>
      <c r="L8" s="38"/>
      <c r="M8" s="57"/>
      <c r="N8" s="77"/>
      <c r="O8" s="76"/>
      <c r="P8" s="38"/>
      <c r="Q8" s="70"/>
      <c r="R8" s="77"/>
    </row>
    <row r="9" spans="2:18" ht="15" thickBot="1" x14ac:dyDescent="0.35">
      <c r="B9" s="44"/>
      <c r="C9" s="40"/>
      <c r="D9" s="40"/>
      <c r="E9" s="40"/>
      <c r="F9" s="41"/>
      <c r="G9" s="65" t="s">
        <v>18</v>
      </c>
      <c r="H9" s="72"/>
      <c r="I9" s="40"/>
      <c r="J9" s="68"/>
      <c r="K9" s="75"/>
      <c r="L9" s="40"/>
      <c r="M9" s="58"/>
      <c r="N9" s="69"/>
      <c r="O9" s="75"/>
      <c r="P9" s="40"/>
      <c r="Q9" s="58"/>
      <c r="R9" s="69"/>
    </row>
    <row r="10" spans="2:18" x14ac:dyDescent="0.3">
      <c r="B10" s="43"/>
      <c r="C10" s="38"/>
      <c r="D10" s="38"/>
      <c r="E10" s="38"/>
      <c r="F10" s="39">
        <v>3</v>
      </c>
      <c r="G10" s="64" t="s">
        <v>17</v>
      </c>
      <c r="H10" s="73"/>
      <c r="I10" s="38"/>
      <c r="J10" s="67"/>
      <c r="K10" s="76"/>
      <c r="L10" s="38"/>
      <c r="M10" s="57"/>
      <c r="N10" s="77"/>
      <c r="O10" s="76"/>
      <c r="P10" s="38"/>
      <c r="Q10" s="70"/>
      <c r="R10" s="77"/>
    </row>
    <row r="11" spans="2:18" ht="15" thickBot="1" x14ac:dyDescent="0.35">
      <c r="B11" s="44"/>
      <c r="C11" s="40"/>
      <c r="D11" s="40"/>
      <c r="E11" s="40"/>
      <c r="F11" s="41"/>
      <c r="G11" s="65" t="s">
        <v>18</v>
      </c>
      <c r="H11" s="72"/>
      <c r="I11" s="40"/>
      <c r="J11" s="68"/>
      <c r="K11" s="75"/>
      <c r="L11" s="40"/>
      <c r="M11" s="58"/>
      <c r="N11" s="69"/>
      <c r="O11" s="75"/>
      <c r="P11" s="40"/>
      <c r="Q11" s="58"/>
      <c r="R11" s="69"/>
    </row>
    <row r="12" spans="2:18" x14ac:dyDescent="0.3">
      <c r="B12" s="43"/>
      <c r="C12" s="38"/>
      <c r="D12" s="38"/>
      <c r="E12" s="38" t="s">
        <v>18</v>
      </c>
      <c r="F12" s="39">
        <v>1</v>
      </c>
      <c r="G12" s="64" t="s">
        <v>17</v>
      </c>
      <c r="H12" s="73"/>
      <c r="I12" s="38"/>
      <c r="J12" s="67"/>
      <c r="K12" s="76"/>
      <c r="L12" s="38"/>
      <c r="M12" s="57"/>
      <c r="N12" s="77"/>
      <c r="O12" s="76"/>
      <c r="P12" s="38"/>
      <c r="Q12" s="70"/>
      <c r="R12" s="77"/>
    </row>
    <row r="13" spans="2:18" ht="15" thickBot="1" x14ac:dyDescent="0.35">
      <c r="B13" s="44"/>
      <c r="C13" s="40"/>
      <c r="D13" s="40"/>
      <c r="E13" s="40"/>
      <c r="F13" s="41"/>
      <c r="G13" s="65" t="s">
        <v>18</v>
      </c>
      <c r="H13" s="72"/>
      <c r="I13" s="40"/>
      <c r="J13" s="68"/>
      <c r="K13" s="75"/>
      <c r="L13" s="40"/>
      <c r="M13" s="58"/>
      <c r="N13" s="69"/>
      <c r="O13" s="75"/>
      <c r="P13" s="40"/>
      <c r="Q13" s="58"/>
      <c r="R13" s="69"/>
    </row>
    <row r="14" spans="2:18" x14ac:dyDescent="0.3">
      <c r="B14" s="43"/>
      <c r="C14" s="38"/>
      <c r="D14" s="38"/>
      <c r="E14" s="38"/>
      <c r="F14" s="39">
        <v>2</v>
      </c>
      <c r="G14" s="64" t="s">
        <v>17</v>
      </c>
      <c r="H14" s="73"/>
      <c r="I14" s="38"/>
      <c r="J14" s="67"/>
      <c r="K14" s="76"/>
      <c r="L14" s="38"/>
      <c r="M14" s="57"/>
      <c r="N14" s="77"/>
      <c r="O14" s="76"/>
      <c r="P14" s="38"/>
      <c r="Q14" s="70"/>
      <c r="R14" s="77"/>
    </row>
    <row r="15" spans="2:18" ht="15" thickBot="1" x14ac:dyDescent="0.35">
      <c r="B15" s="44"/>
      <c r="C15" s="40"/>
      <c r="D15" s="40"/>
      <c r="E15" s="40"/>
      <c r="F15" s="41"/>
      <c r="G15" s="65" t="s">
        <v>18</v>
      </c>
      <c r="H15" s="72"/>
      <c r="I15" s="40"/>
      <c r="J15" s="68"/>
      <c r="K15" s="75"/>
      <c r="L15" s="40"/>
      <c r="M15" s="58"/>
      <c r="N15" s="69"/>
      <c r="O15" s="75"/>
      <c r="P15" s="40"/>
      <c r="Q15" s="58"/>
      <c r="R15" s="69"/>
    </row>
    <row r="16" spans="2:18" x14ac:dyDescent="0.3">
      <c r="B16" s="43"/>
      <c r="C16" s="38"/>
      <c r="D16" s="38"/>
      <c r="E16" s="38"/>
      <c r="F16" s="39">
        <v>3</v>
      </c>
      <c r="G16" s="64" t="s">
        <v>17</v>
      </c>
      <c r="H16" s="73"/>
      <c r="I16" s="38"/>
      <c r="J16" s="67"/>
      <c r="K16" s="76"/>
      <c r="L16" s="38"/>
      <c r="M16" s="57"/>
      <c r="N16" s="77"/>
      <c r="O16" s="76"/>
      <c r="P16" s="38"/>
      <c r="Q16" s="70"/>
      <c r="R16" s="77"/>
    </row>
    <row r="17" spans="2:18" ht="15" thickBot="1" x14ac:dyDescent="0.35">
      <c r="B17" s="44"/>
      <c r="C17" s="40"/>
      <c r="D17" s="40"/>
      <c r="E17" s="40"/>
      <c r="F17" s="41"/>
      <c r="G17" s="65" t="s">
        <v>18</v>
      </c>
      <c r="H17" s="72"/>
      <c r="I17" s="40"/>
      <c r="J17" s="68"/>
      <c r="K17" s="75"/>
      <c r="L17" s="40"/>
      <c r="M17" s="58"/>
      <c r="N17" s="69"/>
      <c r="O17" s="75"/>
      <c r="P17" s="40"/>
      <c r="Q17" s="58"/>
      <c r="R17" s="69"/>
    </row>
  </sheetData>
  <mergeCells count="8">
    <mergeCell ref="B2:R2"/>
    <mergeCell ref="B4:B5"/>
    <mergeCell ref="C4:C5"/>
    <mergeCell ref="D4:D5"/>
    <mergeCell ref="E4:F4"/>
    <mergeCell ref="H4:J4"/>
    <mergeCell ref="K4:N4"/>
    <mergeCell ref="O4:R4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1</vt:i4>
      </vt:variant>
    </vt:vector>
  </HeadingPairs>
  <TitlesOfParts>
    <vt:vector size="4" baseType="lpstr">
      <vt:lpstr>Folha1</vt:lpstr>
      <vt:lpstr>Folha2</vt:lpstr>
      <vt:lpstr>Folha3</vt:lpstr>
      <vt:lpstr>Folha1!Área_de_Impressão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Utilizador</dc:creator>
  <cp:lastModifiedBy>Daniel da Silva Eugenio</cp:lastModifiedBy>
  <cp:lastPrinted>2024-03-12T12:19:37Z</cp:lastPrinted>
  <dcterms:created xsi:type="dcterms:W3CDTF">2017-06-13T09:52:49Z</dcterms:created>
  <dcterms:modified xsi:type="dcterms:W3CDTF">2025-04-07T10:29:58Z</dcterms:modified>
</cp:coreProperties>
</file>